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20" customWidth="1" min="5" max="5"/>
    <col width="16" customWidth="1" min="6" max="6"/>
    <col width="16" customWidth="1" min="7" max="7"/>
    <col width="16" customWidth="1" min="8" max="8"/>
    <col width="34" customWidth="1" min="9" max="9"/>
    <col width="16" customWidth="1" min="10" max="10"/>
    <col width="2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44" customWidth="1" min="20" max="20"/>
    <col width="26" customWidth="1" min="21" max="21"/>
  </cols>
  <sheetData>
    <row r="1">
      <c r="A1" s="1" t="inlineStr">
        <is>
          <t>Date Found</t>
        </is>
      </c>
      <c r="B1" s="1" t="inlineStr">
        <is>
          <t>Date Applied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Remote/Hybrid/On-site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Application URL</t>
        </is>
      </c>
      <c r="J1" s="1" t="inlineStr">
        <is>
          <t>Contact Name</t>
        </is>
      </c>
      <c r="K1" s="1" t="inlineStr">
        <is>
          <t>Contact Email</t>
        </is>
      </c>
      <c r="L1" s="1" t="inlineStr">
        <is>
          <t>Status</t>
        </is>
      </c>
      <c r="M1" s="1" t="inlineStr">
        <is>
          <t>Fit Score</t>
        </is>
      </c>
      <c r="N1" s="1" t="inlineStr">
        <is>
          <t>Scam Risk</t>
        </is>
      </c>
      <c r="O1" s="1" t="inlineStr">
        <is>
          <t>Resume Version Used</t>
        </is>
      </c>
      <c r="P1" s="1" t="inlineStr">
        <is>
          <t>Cover Letter Used</t>
        </is>
      </c>
      <c r="Q1" s="1" t="inlineStr">
        <is>
          <t>Follow-Up Date</t>
        </is>
      </c>
      <c r="R1" s="1" t="inlineStr">
        <is>
          <t>Interview Date</t>
        </is>
      </c>
      <c r="S1" s="1" t="inlineStr">
        <is>
          <t>Outcome</t>
        </is>
      </c>
      <c r="T1" s="1" t="inlineStr">
        <is>
          <t>Notes</t>
        </is>
      </c>
      <c r="U1" s="1" t="inlineStr">
        <is>
          <t>Next Action</t>
        </is>
      </c>
    </row>
  </sheetData>
  <dataValidations count="2">
    <dataValidation sqref="L2:L500" showDropDown="0" showInputMessage="0" showErrorMessage="0" allowBlank="1" error="Pick a value from the list" type="list">
      <formula1>"Found,Reviewed,Rejected by Filter,Saved,Resume Tailored,Applied,Follow-Up Sent,Recruiter Contacted,Interview Requested,Interview Completed,Offer,Rejected,Closed"</formula1>
    </dataValidation>
    <dataValidation sqref="N2:N500" showDropDown="0" showInputMessage="0" showErrorMessage="0" allowBlank="1" type="list">
      <formula1>"Low,Medium,High,Reject"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2" t="inlineStr">
        <is>
          <t>Fernando — Application Dashboard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Total jobs tracked</t>
        </is>
      </c>
      <c r="B4">
        <f>COUNTA(Applications!C2:C500)</f>
        <v/>
      </c>
    </row>
    <row r="5">
      <c r="A5" t="inlineStr">
        <is>
          <t>Applied</t>
        </is>
      </c>
      <c r="B5">
        <f>COUNTIF(Applications!L2:L500,"Applied")</f>
        <v/>
      </c>
    </row>
    <row r="6">
      <c r="A6" t="inlineStr">
        <is>
          <t>Rejected by Filter</t>
        </is>
      </c>
      <c r="B6">
        <f>COUNTIF(Applications!L2:L500,"Rejected by Filter")</f>
        <v/>
      </c>
    </row>
    <row r="7">
      <c r="A7" t="inlineStr">
        <is>
          <t>Saved</t>
        </is>
      </c>
      <c r="B7">
        <f>COUNTIF(Applications!L2:L500,"Saved")</f>
        <v/>
      </c>
    </row>
    <row r="8">
      <c r="A8" t="inlineStr">
        <is>
          <t>Interview Requested</t>
        </is>
      </c>
      <c r="B8">
        <f>COUNTIF(Applications!L2:L500,"Interview Requested")</f>
        <v/>
      </c>
    </row>
    <row r="9">
      <c r="A9" t="inlineStr">
        <is>
          <t>Interview Completed</t>
        </is>
      </c>
      <c r="B9">
        <f>COUNTIF(Applications!L2:L500,"Interview Completed")</f>
        <v/>
      </c>
    </row>
    <row r="10">
      <c r="A10" t="inlineStr">
        <is>
          <t>Offers</t>
        </is>
      </c>
      <c r="B10">
        <f>COUNTIF(Applications!L2:L500,"Offer")</f>
        <v/>
      </c>
    </row>
    <row r="11">
      <c r="A11" t="inlineStr">
        <is>
          <t>Follow-Up Sent</t>
        </is>
      </c>
      <c r="B11">
        <f>COUNTIF(Applications!L2:L500,"Follow-Up Sent")</f>
        <v/>
      </c>
    </row>
    <row r="12">
      <c r="A12" t="inlineStr">
        <is>
          <t>Avg Fit Score (applied+)</t>
        </is>
      </c>
      <c r="B12">
        <f>IFERROR(AVERAGEIF(Applications!L2:L500,"Applied",Applications!M2:M500),"-")</f>
        <v/>
      </c>
    </row>
    <row r="15">
      <c r="A15" s="4" t="inlineStr">
        <is>
          <t>Statuses cheat sheet:</t>
        </is>
      </c>
    </row>
    <row r="16">
      <c r="A16" t="inlineStr">
        <is>
          <t>Found</t>
        </is>
      </c>
    </row>
    <row r="17">
      <c r="A17" t="inlineStr">
        <is>
          <t>Reviewed</t>
        </is>
      </c>
    </row>
    <row r="18">
      <c r="A18" t="inlineStr">
        <is>
          <t>Rejected by Filter</t>
        </is>
      </c>
    </row>
    <row r="19">
      <c r="A19" t="inlineStr">
        <is>
          <t>Saved</t>
        </is>
      </c>
    </row>
    <row r="20">
      <c r="A20" t="inlineStr">
        <is>
          <t>Resume Tailored</t>
        </is>
      </c>
    </row>
    <row r="21">
      <c r="A21" t="inlineStr">
        <is>
          <t>Applied</t>
        </is>
      </c>
    </row>
    <row r="22">
      <c r="A22" t="inlineStr">
        <is>
          <t>Follow-Up Sent</t>
        </is>
      </c>
    </row>
    <row r="23">
      <c r="A23" t="inlineStr">
        <is>
          <t>Recruiter Contacted</t>
        </is>
      </c>
    </row>
    <row r="24">
      <c r="A24" t="inlineStr">
        <is>
          <t>Interview Requested</t>
        </is>
      </c>
    </row>
    <row r="25">
      <c r="A25" t="inlineStr">
        <is>
          <t>Interview Completed</t>
        </is>
      </c>
    </row>
    <row r="26">
      <c r="A26" t="inlineStr">
        <is>
          <t>Offer</t>
        </is>
      </c>
    </row>
    <row r="27">
      <c r="A27" t="inlineStr">
        <is>
          <t>Rejected</t>
        </is>
      </c>
    </row>
    <row r="28">
      <c r="A28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2026-07-02T21:24:37Z</dcterms:created>
  <dcterms:modified xsi:type="dcterms:W3CDTF">2026-07-02T21:24:37Z</dcterms:modified>
</cp:coreProperties>
</file>